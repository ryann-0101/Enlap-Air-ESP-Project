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U:\2025-2026\Level 3 T-Level Digital Production, Design &amp; Development\Teachers\Brankica\Employer Set Project (ESP)\Scenarios\Enlap Air\Task 1\"/>
    </mc:Choice>
  </mc:AlternateContent>
  <xr:revisionPtr revIDLastSave="0" documentId="8_{B186A58E-6661-485A-9656-B5D5F2A9C8FC}" xr6:coauthVersionLast="47" xr6:coauthVersionMax="47" xr10:uidLastSave="{00000000-0000-0000-0000-000000000000}"/>
  <bookViews>
    <workbookView xWindow="-120" yWindow="-120" windowWidth="29040" windowHeight="15720" firstSheet="1" activeTab="1" xr2:uid="{2118F9C9-3ED3-4E7A-AA5A-04B3A02483AB}"/>
  </bookViews>
  <sheets>
    <sheet name="Physical vs Cloud Server" sheetId="1" r:id="rId1"/>
    <sheet name="Revenue Increa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D4" i="2"/>
  <c r="E4" i="2" s="1"/>
  <c r="D3" i="2"/>
  <c r="E3" i="2" s="1"/>
  <c r="D2" i="2"/>
  <c r="C22" i="1"/>
  <c r="B22" i="1"/>
  <c r="B20" i="1"/>
  <c r="B8" i="1"/>
  <c r="B12" i="1"/>
  <c r="B16" i="1"/>
  <c r="E7" i="2" l="1"/>
  <c r="E9" i="2" s="1"/>
  <c r="E2" i="2"/>
  <c r="E12" i="2" s="1"/>
  <c r="E15" i="2" s="1"/>
</calcChain>
</file>

<file path=xl/sharedStrings.xml><?xml version="1.0" encoding="utf-8"?>
<sst xmlns="http://schemas.openxmlformats.org/spreadsheetml/2006/main" count="47" uniqueCount="34">
  <si>
    <t>Physical Server</t>
  </si>
  <si>
    <t>Physical Server - Cost (£)</t>
  </si>
  <si>
    <t>Cloud Server (No Support) - Cost (£)</t>
  </si>
  <si>
    <t>Initial/Setup Cost</t>
  </si>
  <si>
    <t>Server Purchase</t>
  </si>
  <si>
    <t>Monthly Fee (Setup)</t>
  </si>
  <si>
    <t>Storage Expansion (Year 2-3)</t>
  </si>
  <si>
    <t>Included in monthly fee</t>
  </si>
  <si>
    <t>Year 1</t>
  </si>
  <si>
    <t>IT Support Technician</t>
  </si>
  <si>
    <t>Server Maintenance</t>
  </si>
  <si>
    <t>12 × £750 Monthly Fee</t>
  </si>
  <si>
    <t>Total Year 1</t>
  </si>
  <si>
    <t>Year 2</t>
  </si>
  <si>
    <t>Total Year 2</t>
  </si>
  <si>
    <t>Year 3</t>
  </si>
  <si>
    <t>Total Year 3</t>
  </si>
  <si>
    <t>Year 4</t>
  </si>
  <si>
    <t>Total Year 4</t>
  </si>
  <si>
    <t>Overall Cost</t>
  </si>
  <si>
    <t>Total 4-Year Cost</t>
  </si>
  <si>
    <t>Year</t>
  </si>
  <si>
    <t>Revenue</t>
  </si>
  <si>
    <t>% Increase</t>
  </si>
  <si>
    <t>£ Increase</t>
  </si>
  <si>
    <t>Revenue w Increase</t>
  </si>
  <si>
    <t>Total Revenue Increase (Next 3 Yrs)</t>
  </si>
  <si>
    <t>Total Project Cost</t>
  </si>
  <si>
    <t>Earnings</t>
  </si>
  <si>
    <t>Revenue Total (3yr)</t>
  </si>
  <si>
    <t>Over 3 years</t>
  </si>
  <si>
    <t>Ongoing Costs (Yearly)</t>
  </si>
  <si>
    <t>Costs (3yr)</t>
  </si>
  <si>
    <t>Total (3yr)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</si>
</sst>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u/>
      <sz val="9"/>
      <color rgb="FF000000"/>
      <name val="Arial Black"/>
      <family val="2"/>
    </font>
    <font>
      <b/>
      <i/>
      <u/>
      <sz val="9"/>
      <color rgb="FF000000"/>
      <name val="Arial Black"/>
      <family val="2"/>
    </font>
    <font>
      <i/>
      <sz val="9"/>
      <color rgb="FF000000"/>
      <name val="Arial Black"/>
      <family val="2"/>
    </font>
    <font>
      <sz val="9"/>
      <color rgb="FF000000"/>
      <name val="Georgia"/>
      <family val="1"/>
    </font>
    <font>
      <b/>
      <i/>
      <sz val="9"/>
      <color rgb="FF000000"/>
      <name val="Arial Black"/>
      <family val="2"/>
    </font>
    <font>
      <b/>
      <sz val="9"/>
      <color rgb="FF000000"/>
      <name val="Georgia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3" fontId="6" fillId="5" borderId="5" xfId="0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8" fillId="0" borderId="0" xfId="0" applyFont="1"/>
    <xf numFmtId="0" fontId="0" fillId="7" borderId="12" xfId="0" applyFill="1" applyBorder="1"/>
    <xf numFmtId="0" fontId="0" fillId="0" borderId="12" xfId="0" applyBorder="1"/>
    <xf numFmtId="0" fontId="8" fillId="7" borderId="13" xfId="0" applyFont="1" applyFill="1" applyBorder="1"/>
    <xf numFmtId="0" fontId="0" fillId="7" borderId="14" xfId="0" applyFill="1" applyBorder="1"/>
    <xf numFmtId="0" fontId="8" fillId="7" borderId="12" xfId="0" applyFont="1" applyFill="1" applyBorder="1"/>
    <xf numFmtId="0" fontId="8" fillId="6" borderId="0" xfId="0" applyFont="1" applyFill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left" vertical="center"/>
    </xf>
    <xf numFmtId="0" fontId="7" fillId="7" borderId="1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C7C2-3D7E-4E87-8F1A-46CCEFB53537}">
  <sheetPr codeName="Sheet1"/>
  <dimension ref="A1:C22"/>
  <sheetViews>
    <sheetView workbookViewId="0">
      <selection activeCell="C1" sqref="C1"/>
    </sheetView>
  </sheetViews>
  <sheetFormatPr defaultRowHeight="15" x14ac:dyDescent="0.25"/>
  <cols>
    <col min="1" max="1" width="34.7109375" customWidth="1"/>
    <col min="2" max="2" width="42.85546875" customWidth="1"/>
    <col min="3" max="3" width="36" customWidth="1"/>
  </cols>
  <sheetData>
    <row r="1" spans="1:3" ht="51.75" customHeight="1" thickBot="1" x14ac:dyDescent="0.3">
      <c r="A1" s="1" t="s">
        <v>0</v>
      </c>
      <c r="B1" s="2" t="s">
        <v>1</v>
      </c>
      <c r="C1" s="3" t="s">
        <v>2</v>
      </c>
    </row>
    <row r="2" spans="1:3" ht="15.75" thickBot="1" x14ac:dyDescent="0.3">
      <c r="A2" s="24" t="s">
        <v>3</v>
      </c>
      <c r="B2" s="25"/>
      <c r="C2" s="26"/>
    </row>
    <row r="3" spans="1:3" ht="15.75" thickBot="1" x14ac:dyDescent="0.3">
      <c r="A3" s="4" t="s">
        <v>4</v>
      </c>
      <c r="B3" s="5">
        <v>15000</v>
      </c>
      <c r="C3" s="6" t="s">
        <v>5</v>
      </c>
    </row>
    <row r="4" spans="1:3" ht="15.75" thickBot="1" x14ac:dyDescent="0.3">
      <c r="A4" s="4" t="s">
        <v>6</v>
      </c>
      <c r="B4" s="7">
        <v>5000</v>
      </c>
      <c r="C4" s="8" t="s">
        <v>7</v>
      </c>
    </row>
    <row r="5" spans="1:3" ht="15.75" thickBot="1" x14ac:dyDescent="0.3">
      <c r="A5" s="21" t="s">
        <v>8</v>
      </c>
      <c r="B5" s="22"/>
      <c r="C5" s="23"/>
    </row>
    <row r="6" spans="1:3" ht="15.75" thickBot="1" x14ac:dyDescent="0.3">
      <c r="A6" s="4" t="s">
        <v>9</v>
      </c>
      <c r="B6" s="7">
        <v>25000</v>
      </c>
      <c r="C6" s="8" t="s">
        <v>7</v>
      </c>
    </row>
    <row r="7" spans="1:3" ht="15.75" thickBot="1" x14ac:dyDescent="0.3">
      <c r="A7" s="4" t="s">
        <v>10</v>
      </c>
      <c r="B7" s="5">
        <v>10000</v>
      </c>
      <c r="C7" s="6" t="s">
        <v>11</v>
      </c>
    </row>
    <row r="8" spans="1:3" ht="15.75" thickBot="1" x14ac:dyDescent="0.3">
      <c r="A8" s="9" t="s">
        <v>12</v>
      </c>
      <c r="B8" s="10">
        <f>SUM(B6:B7)</f>
        <v>35000</v>
      </c>
      <c r="C8" s="11">
        <v>9000</v>
      </c>
    </row>
    <row r="9" spans="1:3" ht="15.75" thickBot="1" x14ac:dyDescent="0.3">
      <c r="A9" s="21" t="s">
        <v>13</v>
      </c>
      <c r="B9" s="22"/>
      <c r="C9" s="23"/>
    </row>
    <row r="10" spans="1:3" ht="15.75" thickBot="1" x14ac:dyDescent="0.3">
      <c r="A10" s="4" t="s">
        <v>9</v>
      </c>
      <c r="B10" s="7">
        <v>25000</v>
      </c>
      <c r="C10" s="8" t="s">
        <v>7</v>
      </c>
    </row>
    <row r="11" spans="1:3" ht="15.75" thickBot="1" x14ac:dyDescent="0.3">
      <c r="A11" s="4" t="s">
        <v>10</v>
      </c>
      <c r="B11" s="5">
        <v>10000</v>
      </c>
      <c r="C11" s="6" t="s">
        <v>11</v>
      </c>
    </row>
    <row r="12" spans="1:3" ht="15.75" thickBot="1" x14ac:dyDescent="0.3">
      <c r="A12" s="9" t="s">
        <v>14</v>
      </c>
      <c r="B12" s="10">
        <f>SUM(B10:B11)</f>
        <v>35000</v>
      </c>
      <c r="C12" s="11">
        <v>9000</v>
      </c>
    </row>
    <row r="13" spans="1:3" ht="15.75" thickBot="1" x14ac:dyDescent="0.3">
      <c r="A13" s="21" t="s">
        <v>15</v>
      </c>
      <c r="B13" s="22"/>
      <c r="C13" s="23"/>
    </row>
    <row r="14" spans="1:3" ht="15.75" thickBot="1" x14ac:dyDescent="0.3">
      <c r="A14" s="4" t="s">
        <v>9</v>
      </c>
      <c r="B14" s="7">
        <v>25000</v>
      </c>
      <c r="C14" s="8" t="s">
        <v>7</v>
      </c>
    </row>
    <row r="15" spans="1:3" ht="15.75" thickBot="1" x14ac:dyDescent="0.3">
      <c r="A15" s="4" t="s">
        <v>10</v>
      </c>
      <c r="B15" s="7">
        <v>10000</v>
      </c>
      <c r="C15" s="8" t="s">
        <v>11</v>
      </c>
    </row>
    <row r="16" spans="1:3" ht="15.75" thickBot="1" x14ac:dyDescent="0.3">
      <c r="A16" s="9" t="s">
        <v>16</v>
      </c>
      <c r="B16" s="10">
        <f>SUM(B14:B15)</f>
        <v>35000</v>
      </c>
      <c r="C16" s="10">
        <v>9000</v>
      </c>
    </row>
    <row r="17" spans="1:3" ht="15.75" thickBot="1" x14ac:dyDescent="0.3">
      <c r="A17" s="21" t="s">
        <v>17</v>
      </c>
      <c r="B17" s="22"/>
      <c r="C17" s="23"/>
    </row>
    <row r="18" spans="1:3" ht="15.75" thickBot="1" x14ac:dyDescent="0.3">
      <c r="A18" s="4" t="s">
        <v>9</v>
      </c>
      <c r="B18" s="7">
        <v>25000</v>
      </c>
      <c r="C18" s="8" t="s">
        <v>7</v>
      </c>
    </row>
    <row r="19" spans="1:3" ht="15.75" thickBot="1" x14ac:dyDescent="0.3">
      <c r="A19" s="4" t="s">
        <v>10</v>
      </c>
      <c r="B19" s="7">
        <v>10000</v>
      </c>
      <c r="C19" s="8" t="s">
        <v>11</v>
      </c>
    </row>
    <row r="20" spans="1:3" ht="15.75" thickBot="1" x14ac:dyDescent="0.3">
      <c r="A20" s="9" t="s">
        <v>18</v>
      </c>
      <c r="B20" s="10">
        <f>SUM(B18:B19)</f>
        <v>35000</v>
      </c>
      <c r="C20" s="10">
        <v>9000</v>
      </c>
    </row>
    <row r="21" spans="1:3" ht="15.75" thickBot="1" x14ac:dyDescent="0.3">
      <c r="A21" s="21" t="s">
        <v>19</v>
      </c>
      <c r="B21" s="22"/>
      <c r="C21" s="23"/>
    </row>
    <row r="22" spans="1:3" ht="15.75" thickBot="1" x14ac:dyDescent="0.3">
      <c r="A22" s="9" t="s">
        <v>20</v>
      </c>
      <c r="B22" s="10">
        <f>SUM(B3,B4,B8,B12,B16,B20)</f>
        <v>160000</v>
      </c>
      <c r="C22" s="10">
        <f>SUM(C8,C12,C16,C20)</f>
        <v>36000</v>
      </c>
    </row>
  </sheetData>
  <mergeCells count="6">
    <mergeCell ref="A21:C21"/>
    <mergeCell ref="A2:C2"/>
    <mergeCell ref="A5:C5"/>
    <mergeCell ref="A9:C9"/>
    <mergeCell ref="A13:C13"/>
    <mergeCell ref="A17:C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7097-5287-4AFA-9B0C-A0EA68A9FDBE}">
  <sheetPr codeName="Sheet2"/>
  <dimension ref="A1:E15"/>
  <sheetViews>
    <sheetView tabSelected="1" zoomScaleNormal="100" workbookViewId="0">
      <selection activeCell="Q14" sqref="F14:Q15"/>
    </sheetView>
  </sheetViews>
  <sheetFormatPr defaultRowHeight="15" x14ac:dyDescent="0.25"/>
  <cols>
    <col min="1" max="1" width="10.7109375" customWidth="1"/>
    <col min="2" max="2" width="11.42578125" customWidth="1"/>
    <col min="3" max="3" width="15.7109375" customWidth="1"/>
    <col min="4" max="4" width="15.42578125" customWidth="1"/>
    <col min="5" max="5" width="17.7109375" bestFit="1" customWidth="1"/>
  </cols>
  <sheetData>
    <row r="1" spans="1:5" x14ac:dyDescent="0.25">
      <c r="A1" s="19" t="s">
        <v>21</v>
      </c>
      <c r="B1" s="18" t="s">
        <v>22</v>
      </c>
      <c r="C1" s="18" t="s">
        <v>23</v>
      </c>
      <c r="D1" s="18" t="s">
        <v>24</v>
      </c>
      <c r="E1" s="18" t="s">
        <v>25</v>
      </c>
    </row>
    <row r="2" spans="1:5" x14ac:dyDescent="0.25">
      <c r="A2" s="13">
        <v>1</v>
      </c>
      <c r="B2" s="14">
        <v>1400000</v>
      </c>
      <c r="C2" s="14">
        <v>0.03</v>
      </c>
      <c r="D2" s="14">
        <f>PRODUCT(B2,C2)</f>
        <v>42000</v>
      </c>
      <c r="E2" s="14">
        <f>SUM(B2,D2)</f>
        <v>1442000</v>
      </c>
    </row>
    <row r="3" spans="1:5" x14ac:dyDescent="0.25">
      <c r="A3" s="13">
        <v>2</v>
      </c>
      <c r="B3" s="14">
        <v>1442000</v>
      </c>
      <c r="C3" s="14">
        <v>0.05</v>
      </c>
      <c r="D3" s="14">
        <f>PRODUCT(B3,C3)</f>
        <v>72100</v>
      </c>
      <c r="E3" s="14">
        <f>SUM(B3,D3)</f>
        <v>1514100</v>
      </c>
    </row>
    <row r="4" spans="1:5" x14ac:dyDescent="0.25">
      <c r="A4" s="13">
        <v>3</v>
      </c>
      <c r="B4" s="14">
        <v>1514100</v>
      </c>
      <c r="C4" s="14">
        <v>0.05</v>
      </c>
      <c r="D4" s="14">
        <f>PRODUCT(B4,C4)</f>
        <v>75705</v>
      </c>
      <c r="E4" s="14">
        <f>SUM(B4,D4)</f>
        <v>1589805</v>
      </c>
    </row>
    <row r="6" spans="1:5" x14ac:dyDescent="0.25">
      <c r="C6" s="12"/>
    </row>
    <row r="7" spans="1:5" x14ac:dyDescent="0.25">
      <c r="C7" s="17" t="s">
        <v>26</v>
      </c>
      <c r="D7" s="13"/>
      <c r="E7" s="14">
        <f>SUM(D2,D3,D4)</f>
        <v>189805</v>
      </c>
    </row>
    <row r="8" spans="1:5" x14ac:dyDescent="0.25">
      <c r="C8" s="15" t="s">
        <v>27</v>
      </c>
      <c r="D8" s="16"/>
      <c r="E8" s="14">
        <v>160000</v>
      </c>
    </row>
    <row r="9" spans="1:5" x14ac:dyDescent="0.25">
      <c r="C9" s="15" t="s">
        <v>28</v>
      </c>
      <c r="D9" s="16"/>
      <c r="E9" s="14">
        <f>E7-E8</f>
        <v>29805</v>
      </c>
    </row>
    <row r="12" spans="1:5" x14ac:dyDescent="0.25">
      <c r="B12" s="20"/>
      <c r="C12" s="15" t="s">
        <v>29</v>
      </c>
      <c r="D12" s="16"/>
      <c r="E12" s="14">
        <f>E2+E3+E4</f>
        <v>4545905</v>
      </c>
    </row>
    <row r="13" spans="1:5" x14ac:dyDescent="0.25">
      <c r="B13" s="27" t="s">
        <v>30</v>
      </c>
      <c r="C13" s="17" t="s">
        <v>31</v>
      </c>
      <c r="D13" s="13"/>
      <c r="E13" s="14">
        <v>35000</v>
      </c>
    </row>
    <row r="14" spans="1:5" x14ac:dyDescent="0.25">
      <c r="B14" s="28"/>
      <c r="C14" s="15" t="s">
        <v>32</v>
      </c>
      <c r="D14" s="16"/>
      <c r="E14" s="14">
        <f>E13*3</f>
        <v>105000</v>
      </c>
    </row>
    <row r="15" spans="1:5" x14ac:dyDescent="0.25">
      <c r="C15" s="15" t="s">
        <v>33</v>
      </c>
      <c r="D15" s="16"/>
      <c r="E15" s="14">
        <f>E12-E14</f>
        <v>4440905</v>
      </c>
    </row>
  </sheetData>
  <mergeCells count="1">
    <mergeCell ref="B13:B1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19ac8f-bc07-4143-bd0a-6d2194b41d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02C9C2F188D2449123E7F850EB5FF1" ma:contentTypeVersion="11" ma:contentTypeDescription="Create a new document." ma:contentTypeScope="" ma:versionID="9f88f36d7532aba762c0f4cf1ed4b29b">
  <xsd:schema xmlns:xsd="http://www.w3.org/2001/XMLSchema" xmlns:xs="http://www.w3.org/2001/XMLSchema" xmlns:p="http://schemas.microsoft.com/office/2006/metadata/properties" xmlns:ns3="8a19ac8f-bc07-4143-bd0a-6d2194b41d4e" targetNamespace="http://schemas.microsoft.com/office/2006/metadata/properties" ma:root="true" ma:fieldsID="57cb4c6cca02a3ad3ddc5ca6c85fec41" ns3:_="">
    <xsd:import namespace="8a19ac8f-bc07-4143-bd0a-6d2194b41d4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9ac8f-bc07-4143-bd0a-6d2194b41d4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64C97B-03D4-4BE0-A815-A47DD756C576}">
  <ds:schemaRefs>
    <ds:schemaRef ds:uri="http://schemas.microsoft.com/office/2006/metadata/properties"/>
    <ds:schemaRef ds:uri="http://schemas.microsoft.com/office/infopath/2007/PartnerControls"/>
    <ds:schemaRef ds:uri="8a19ac8f-bc07-4143-bd0a-6d2194b41d4e"/>
  </ds:schemaRefs>
</ds:datastoreItem>
</file>

<file path=customXml/itemProps2.xml><?xml version="1.0" encoding="utf-8"?>
<ds:datastoreItem xmlns:ds="http://schemas.openxmlformats.org/officeDocument/2006/customXml" ds:itemID="{91AF7F51-32A3-431D-A143-6B00DCA7F6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C4ABEA-D305-4045-B5B7-73CF780AA7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9ac8f-bc07-4143-bd0a-6d2194b41d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Physical vs Cloud Server</vt:lpstr>
      <vt:lpstr>Revenue Increase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Nolan</dc:creator>
  <cp:keywords/>
  <dc:description/>
  <cp:lastModifiedBy>Ryan Nolan</cp:lastModifiedBy>
  <cp:revision/>
  <dcterms:created xsi:type="dcterms:W3CDTF">2025-10-16T12:31:49Z</dcterms:created>
  <dcterms:modified xsi:type="dcterms:W3CDTF">2025-10-23T13:21:08Z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0x0101007D02C9C2F188D2449123E7F850EB5FF1</vt:lpwstr>
  </property>
</Properties>
</file>